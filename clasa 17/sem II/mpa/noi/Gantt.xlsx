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9"/>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848C8372-9315-4E59-9ACF-FC6C8CEC4053}"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11" l="1"/>
  <c r="E37" i="11"/>
  <c r="F36" i="11"/>
  <c r="F35" i="11"/>
  <c r="F34" i="11"/>
  <c r="E35" i="11"/>
  <c r="E34" i="11"/>
  <c r="F33" i="11"/>
  <c r="F31" i="11"/>
  <c r="E31" i="11"/>
  <c r="E28" i="11"/>
  <c r="F30" i="11"/>
  <c r="E30" i="11"/>
  <c r="E29" i="11"/>
  <c r="F29" i="11"/>
  <c r="F28" i="11"/>
  <c r="E24" i="11"/>
  <c r="F22" i="11"/>
  <c r="E22" i="11"/>
  <c r="E15" i="11"/>
  <c r="E33" i="11"/>
  <c r="F15" i="11"/>
  <c r="E16" i="11" s="1"/>
  <c r="F16" i="11" s="1"/>
  <c r="E17" i="11" s="1"/>
  <c r="F17" i="11" s="1"/>
  <c r="E9" i="11"/>
  <c r="F9" i="11"/>
  <c r="E10" i="11" s="1"/>
  <c r="F10" i="11" s="1"/>
  <c r="E11" i="11" s="1"/>
  <c r="F11" i="11" s="1"/>
  <c r="E12" i="11" s="1"/>
  <c r="F12" i="11" s="1"/>
  <c r="E13" i="11" s="1"/>
  <c r="H32" i="11"/>
  <c r="H7" i="11"/>
  <c r="E23" i="11" l="1"/>
  <c r="F23" i="11" s="1"/>
  <c r="I5" i="11"/>
  <c r="H27" i="11"/>
  <c r="H21" i="11"/>
  <c r="H14" i="11"/>
  <c r="H8" i="11"/>
  <c r="F24" i="11" l="1"/>
  <c r="E25" i="11" s="1"/>
  <c r="H33" i="11"/>
  <c r="H22" i="11"/>
  <c r="H23" i="11"/>
  <c r="H9" i="11"/>
  <c r="I6" i="11"/>
  <c r="H34" i="11" l="1"/>
  <c r="H29" i="11"/>
  <c r="H31" i="11"/>
  <c r="H28" i="11"/>
  <c r="H10" i="11"/>
  <c r="F25" i="11"/>
  <c r="E26" i="11" s="1"/>
  <c r="H24" i="11"/>
  <c r="J5" i="11"/>
  <c r="K5" i="11" s="1"/>
  <c r="L5" i="11" s="1"/>
  <c r="M5" i="11" s="1"/>
  <c r="N5" i="11" s="1"/>
  <c r="O5" i="11" s="1"/>
  <c r="P5" i="11" s="1"/>
  <c r="I4" i="11"/>
  <c r="F26" i="11" l="1"/>
  <c r="H26" i="11"/>
  <c r="F13" i="11"/>
  <c r="H13" i="11"/>
  <c r="E36" i="11"/>
  <c r="H35" i="11"/>
  <c r="H30" i="11"/>
  <c r="H25" i="11"/>
  <c r="H11" i="11"/>
  <c r="H12" i="11"/>
  <c r="P4" i="11"/>
  <c r="Q5" i="11"/>
  <c r="R5" i="11" s="1"/>
  <c r="S5" i="11" s="1"/>
  <c r="T5" i="11" s="1"/>
  <c r="U5" i="11" s="1"/>
  <c r="V5" i="11" s="1"/>
  <c r="W5" i="11" s="1"/>
  <c r="J6" i="11"/>
  <c r="H36" i="11" l="1"/>
  <c r="H15" i="11"/>
  <c r="W4" i="11"/>
  <c r="X5" i="11"/>
  <c r="Y5" i="11" s="1"/>
  <c r="Z5" i="11" s="1"/>
  <c r="AA5" i="11" s="1"/>
  <c r="AB5" i="11" s="1"/>
  <c r="AC5" i="11" s="1"/>
  <c r="AD5" i="11" s="1"/>
  <c r="K6" i="11"/>
  <c r="H37" i="11" l="1"/>
  <c r="H16" i="11"/>
  <c r="AE5" i="11"/>
  <c r="AF5" i="11" s="1"/>
  <c r="AG5" i="11" s="1"/>
  <c r="AH5" i="11" s="1"/>
  <c r="AI5" i="11" s="1"/>
  <c r="AJ5" i="11" s="1"/>
  <c r="AD4" i="11"/>
  <c r="L6" i="11"/>
  <c r="AK5" i="11" l="1"/>
  <c r="AL5" i="11" s="1"/>
  <c r="AM5" i="11" s="1"/>
  <c r="AN5" i="11" s="1"/>
  <c r="AO5" i="11" s="1"/>
  <c r="AP5" i="11" s="1"/>
  <c r="AQ5" i="11" s="1"/>
  <c r="M6" i="11"/>
  <c r="H17" i="11" l="1"/>
  <c r="E18" i="11"/>
  <c r="F18" i="11" s="1"/>
  <c r="AR5" i="11"/>
  <c r="AS5" i="11" s="1"/>
  <c r="AK4" i="11"/>
  <c r="N6" i="11"/>
  <c r="H18" i="11" l="1"/>
  <c r="E19" i="11"/>
  <c r="AT5" i="11"/>
  <c r="AS6" i="11"/>
  <c r="AR4" i="11"/>
  <c r="O6" i="11"/>
  <c r="F19" i="11" l="1"/>
  <c r="AU5" i="11"/>
  <c r="AT6" i="11"/>
  <c r="H19" i="11" l="1"/>
  <c r="E20" i="11"/>
  <c r="F20" i="11" s="1"/>
  <c r="H20" i="11" s="1"/>
  <c r="AV5" i="1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M6" i="11"/>
  <c r="BN5" i="11"/>
  <c r="BL6" i="11"/>
  <c r="AG6" i="11"/>
  <c r="BN6" i="11" l="1"/>
  <c r="BO5" i="11"/>
  <c r="AH6" i="11"/>
  <c r="BO6" i="11" l="1"/>
  <c r="BP5" i="11"/>
  <c r="AI6" i="11"/>
  <c r="BP6" i="11" l="1"/>
  <c r="BQ5" i="11"/>
  <c r="AJ6" i="11"/>
  <c r="BQ6" i="11" l="1"/>
  <c r="BR5" i="11"/>
  <c r="AK6" i="11"/>
  <c r="BR6" i="11" l="1"/>
  <c r="BS5" i="11"/>
  <c r="AL6" i="11"/>
  <c r="BS6" i="11" l="1"/>
  <c r="BT5" i="11"/>
  <c r="AM6" i="11"/>
  <c r="BT6" i="11" l="1"/>
  <c r="BU5" i="11"/>
  <c r="BT4" i="11"/>
  <c r="AN6" i="11"/>
  <c r="BU6" i="11" l="1"/>
  <c r="BV5" i="11"/>
  <c r="AO6" i="11"/>
  <c r="BV6" i="11" l="1"/>
  <c r="BW5" i="11"/>
  <c r="AP6" i="11"/>
  <c r="BW6" i="11" l="1"/>
  <c r="BX5" i="11"/>
  <c r="AQ6" i="11"/>
  <c r="BX6" i="11" l="1"/>
  <c r="BY5" i="11"/>
  <c r="AR6" i="11"/>
  <c r="BY6" i="11" l="1"/>
  <c r="BZ5" i="11"/>
  <c r="BZ6" i="11" l="1"/>
  <c r="CA5" i="11"/>
  <c r="CA6" i="11" l="1"/>
  <c r="CB5" i="11"/>
  <c r="CA4" i="11"/>
  <c r="CB6" i="11" l="1"/>
  <c r="CC5" i="11"/>
  <c r="CC6" i="11" l="1"/>
  <c r="CD5" i="11"/>
  <c r="CD6" i="11" l="1"/>
  <c r="CE5" i="11"/>
  <c r="CE6" i="11" l="1"/>
  <c r="CF5" i="11"/>
  <c r="CF6" i="11" l="1"/>
  <c r="CG5" i="11"/>
  <c r="CG6" i="11" l="1"/>
  <c r="CH5" i="11"/>
  <c r="CH6" i="11" l="1"/>
  <c r="CI5" i="11"/>
  <c r="CH4" i="11"/>
  <c r="CI6" i="11" l="1"/>
  <c r="CJ5" i="11"/>
  <c r="CJ6" i="11" l="1"/>
  <c r="CK5" i="11"/>
  <c r="CK6" i="11" l="1"/>
  <c r="CL5" i="11"/>
  <c r="CL6" i="11" l="1"/>
  <c r="CM5" i="11"/>
  <c r="CM6" i="11" l="1"/>
  <c r="CN5" i="11"/>
  <c r="CN6" i="11" s="1"/>
</calcChain>
</file>

<file path=xl/sharedStrings.xml><?xml version="1.0" encoding="utf-8"?>
<sst xmlns="http://schemas.openxmlformats.org/spreadsheetml/2006/main" count="77" uniqueCount="59">
  <si>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</si>
  <si>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</si>
  <si>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</si>
  <si>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</si>
  <si>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</si>
  <si>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</si>
  <si>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</si>
  <si>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</si>
  <si>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</si>
  <si>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</si>
  <si>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</si>
  <si>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</si>
  <si>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</si>
  <si>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Senior Developer (Tech Lead)</t>
  </si>
  <si>
    <t>Arhitectura sistemului și setup infrastructură</t>
  </si>
  <si>
    <t xml:space="preserve"> sistem de autentificare și autorizare</t>
  </si>
  <si>
    <t>Hayden Cook</t>
  </si>
  <si>
    <t>Integrare API-uri externe (bănci, curs valutar)</t>
  </si>
  <si>
    <t>Jens Martensson</t>
  </si>
  <si>
    <t>Configurare pipeline CI/CD</t>
  </si>
  <si>
    <t>Nuria Acevedo</t>
  </si>
  <si>
    <t>Code review și mentoring (Ongoing)</t>
  </si>
  <si>
    <t>Developer #1 (Backend Focus)</t>
  </si>
  <si>
    <t xml:space="preserve">Crearea modelelor de date și scheme DB </t>
  </si>
  <si>
    <t>Implementare servicii tranzacții (CRUD)</t>
  </si>
  <si>
    <t>Logica de import extrase bancare</t>
  </si>
  <si>
    <t>Generare rapoarte (PDF/Excel)</t>
  </si>
  <si>
    <t xml:space="preserve">Optimizare performanță backend </t>
  </si>
  <si>
    <t>Olivia Wilson</t>
  </si>
  <si>
    <t>Developer #2 (Frontend Focus)</t>
  </si>
  <si>
    <t xml:space="preserve">Implementare UI dashboard principal </t>
  </si>
  <si>
    <t xml:space="preserve">Pagina de gestionare tranzacții </t>
  </si>
  <si>
    <t xml:space="preserve">Formulare bugete și alerte </t>
  </si>
  <si>
    <t xml:space="preserve">Vizualizări grafice (charts) </t>
  </si>
  <si>
    <t xml:space="preserve">Responsive design și teste cross-platform </t>
  </si>
  <si>
    <t>Junior Developer</t>
  </si>
  <si>
    <t xml:space="preserve">Implementare componente UI simple </t>
  </si>
  <si>
    <t xml:space="preserve">Teste unitare </t>
  </si>
  <si>
    <t xml:space="preserve">Suport la documentație tehnică </t>
  </si>
  <si>
    <t xml:space="preserve">Monitorizare bug-uri post-lansare </t>
  </si>
  <si>
    <t>Marketing Specialist</t>
  </si>
  <si>
    <t xml:space="preserve">Research piață și competiție </t>
  </si>
  <si>
    <t xml:space="preserve">Creare conținut promoțional </t>
  </si>
  <si>
    <t xml:space="preserve">Campanie pre-lansare </t>
  </si>
  <si>
    <t xml:space="preserve">Management rețele sociale </t>
  </si>
  <si>
    <t xml:space="preserve">Analiză metrici utilizare </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</si>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</sst>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2"/>
      <color theme="1"/>
      <name val="Nunito"/>
      <charset val="1"/>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7" tint="0.79998168889431442"/>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8" tint="0.59996337778862885"/>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23" fillId="0" borderId="0" xfId="0" applyFont="1" applyAlignment="1">
      <alignment horizontal="left"/>
    </xf>
    <xf numFmtId="165" fontId="23" fillId="0" borderId="0" xfId="9" applyFont="1" applyBorder="1" applyAlignment="1">
      <alignment horizontal="left"/>
    </xf>
    <xf numFmtId="0" fontId="22" fillId="0" borderId="0" xfId="8" applyFont="1" applyAlignment="1">
      <alignment horizontal="left"/>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17" fillId="4" borderId="5" xfId="12" applyFont="1" applyFill="1" applyBorder="1" applyAlignment="1">
      <alignment horizontal="left" vertical="center" indent="2"/>
    </xf>
    <xf numFmtId="0" fontId="17" fillId="5" borderId="8" xfId="12" applyFont="1" applyFill="1" applyBorder="1" applyAlignment="1">
      <alignment horizontal="left" vertical="center" indent="2"/>
    </xf>
    <xf numFmtId="0" fontId="17" fillId="10" borderId="9" xfId="12" applyFont="1" applyFill="1" applyBorder="1" applyAlignment="1">
      <alignment horizontal="left" vertical="center" indent="2"/>
    </xf>
    <xf numFmtId="0" fontId="21" fillId="13" borderId="0" xfId="0" applyFont="1" applyFill="1" applyAlignment="1">
      <alignment horizontal="left" vertical="center" indent="1"/>
    </xf>
    <xf numFmtId="0" fontId="17" fillId="13" borderId="0" xfId="11" applyFont="1" applyFill="1" applyBorder="1" applyAlignment="1">
      <alignment vertical="center"/>
    </xf>
    <xf numFmtId="9" fontId="1" fillId="13" borderId="0" xfId="2" applyFont="1" applyFill="1" applyBorder="1" applyAlignment="1">
      <alignment horizontal="center" vertical="center"/>
    </xf>
    <xf numFmtId="164" fontId="17"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7" fillId="14" borderId="0" xfId="12" applyFont="1" applyFill="1" applyBorder="1" applyAlignment="1">
      <alignment horizontal="left" vertical="center" indent="2"/>
    </xf>
    <xf numFmtId="9" fontId="1" fillId="14" borderId="0" xfId="2" applyFont="1" applyFill="1" applyBorder="1" applyAlignment="1">
      <alignment horizontal="center" vertical="center"/>
    </xf>
    <xf numFmtId="164" fontId="17" fillId="14" borderId="0" xfId="10" applyFont="1" applyFill="1" applyBorder="1">
      <alignment horizontal="center" vertical="center"/>
    </xf>
    <xf numFmtId="164" fontId="17" fillId="10" borderId="0" xfId="10" applyFont="1" applyFill="1" applyBorder="1">
      <alignment horizontal="center" vertical="center"/>
    </xf>
    <xf numFmtId="164" fontId="17" fillId="10" borderId="22" xfId="10" applyFont="1" applyFill="1" applyBorder="1">
      <alignment horizontal="center" vertical="center"/>
    </xf>
    <xf numFmtId="0" fontId="4" fillId="0" borderId="0" xfId="0" applyFont="1" applyAlignment="1"/>
    <xf numFmtId="0" fontId="24" fillId="0" borderId="0" xfId="0" applyFont="1" applyAlignment="1"/>
    <xf numFmtId="0" fontId="4" fillId="2" borderId="21" xfId="0" applyFont="1" applyFill="1" applyBorder="1" applyAlignment="1"/>
    <xf numFmtId="0" fontId="28" fillId="3" borderId="6" xfId="12" applyFont="1" applyFill="1" applyBorder="1" applyAlignment="1">
      <alignment horizontal="left" vertical="center" indent="2"/>
    </xf>
    <xf numFmtId="0" fontId="17" fillId="3" borderId="6" xfId="12" applyFont="1" applyFill="1" applyBorder="1" applyAlignment="1">
      <alignment horizontal="left" vertical="center" indent="2"/>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9">
    <dxf>
      <fill>
        <patternFill patternType="solid">
          <bgColor theme="7" tint="0.59999389629810485"/>
        </patternFill>
      </fill>
    </dxf>
    <dxf>
      <fill>
        <patternFill patternType="solid">
          <bgColor theme="7" tint="0.79998168889431442"/>
        </patternFill>
      </fill>
    </dxf>
    <dxf>
      <fill>
        <patternFill patternType="solid">
          <bgColor theme="7" tint="0.59999389629810485"/>
        </patternFill>
      </fill>
    </dxf>
    <dxf>
      <fill>
        <patternFill patternType="solid">
          <bgColor theme="7" tint="0.79998168889431442"/>
        </patternFill>
      </fill>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8"/>
      <tableStyleElement type="headerRow" dxfId="27"/>
      <tableStyleElement type="totalRow" dxfId="26"/>
      <tableStyleElement type="firstColumn" dxfId="25"/>
      <tableStyleElement type="lastColumn" dxfId="24"/>
      <tableStyleElement type="firstRowStripe" dxfId="23"/>
      <tableStyleElement type="secondRowStripe" dxfId="22"/>
      <tableStyleElement type="firstColumnStripe" dxfId="21"/>
      <tableStyleElement type="secondColumnStripe" dxfId="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37"/>
  <sheetViews>
    <sheetView showGridLines="0" tabSelected="1" showRuler="0" topLeftCell="A18" zoomScaleNormal="100" zoomScalePageLayoutView="70" workbookViewId="0">
      <selection activeCell="F38" sqref="F38"/>
    </sheetView>
  </sheetViews>
  <sheetFormatPr defaultColWidth="8.75" defaultRowHeight="30" customHeight="1"/>
  <cols>
    <col min="1" max="1" width="2.75" style="10" customWidth="1"/>
    <col min="2" max="2" width="22.75" customWidth="1"/>
    <col min="3" max="3" width="20.375" customWidth="1"/>
    <col min="4" max="4" width="10.75" customWidth="1"/>
    <col min="5" max="5" width="10.75" style="2" customWidth="1"/>
    <col min="6" max="6" width="10.75" customWidth="1"/>
    <col min="7" max="7" width="2.75" customWidth="1"/>
    <col min="8" max="8" width="6" hidden="1" customWidth="1"/>
    <col min="9" max="65" width="2.75" customWidth="1"/>
    <col min="66" max="69" width="2.5" bestFit="1" customWidth="1"/>
    <col min="70" max="71" width="1.875" bestFit="1" customWidth="1"/>
    <col min="72" max="72" width="2.125" bestFit="1" customWidth="1"/>
    <col min="73" max="73" width="1.875" bestFit="1" customWidth="1"/>
    <col min="74" max="74" width="2.25" bestFit="1" customWidth="1"/>
    <col min="75" max="78" width="1.875" bestFit="1" customWidth="1"/>
    <col min="79" max="92" width="2.5" bestFit="1" customWidth="1"/>
  </cols>
  <sheetData>
    <row r="1" spans="1:92" ht="90" customHeight="1">
      <c r="A1" s="11"/>
      <c r="B1" s="72" t="s">
        <v>0</v>
      </c>
      <c r="C1" s="13"/>
      <c r="D1" s="14"/>
      <c r="E1" s="15"/>
      <c r="F1" s="16"/>
      <c r="H1" s="1"/>
      <c r="I1" s="86" t="s">
        <v>1</v>
      </c>
      <c r="J1" s="104"/>
      <c r="K1" s="104"/>
      <c r="L1" s="104"/>
      <c r="M1" s="104"/>
      <c r="N1" s="104"/>
      <c r="O1" s="104"/>
      <c r="P1" s="19"/>
      <c r="Q1" s="85">
        <v>45658</v>
      </c>
      <c r="R1" s="105"/>
      <c r="S1" s="105"/>
      <c r="T1" s="105"/>
      <c r="U1" s="105"/>
      <c r="V1" s="105"/>
      <c r="W1" s="105"/>
      <c r="X1" s="105"/>
      <c r="Y1" s="105"/>
      <c r="Z1" s="105"/>
    </row>
    <row r="2" spans="1:92" ht="30" customHeight="1">
      <c r="B2" s="70" t="s">
        <v>2</v>
      </c>
      <c r="C2" s="71" t="s">
        <v>3</v>
      </c>
      <c r="D2" s="17"/>
      <c r="E2" s="18"/>
      <c r="F2" s="17"/>
      <c r="I2" s="86" t="s">
        <v>4</v>
      </c>
      <c r="J2" s="104"/>
      <c r="K2" s="104"/>
      <c r="L2" s="104"/>
      <c r="M2" s="104"/>
      <c r="N2" s="104"/>
      <c r="O2" s="104"/>
      <c r="P2" s="19"/>
      <c r="Q2" s="84">
        <v>1</v>
      </c>
      <c r="R2" s="105"/>
      <c r="S2" s="105"/>
      <c r="T2" s="105"/>
      <c r="U2" s="105"/>
      <c r="V2" s="105"/>
      <c r="W2" s="105"/>
      <c r="X2" s="105"/>
      <c r="Y2" s="105"/>
      <c r="Z2" s="105"/>
    </row>
    <row r="3" spans="1:92" s="21" customFormat="1" ht="30" customHeight="1">
      <c r="A3" s="10"/>
      <c r="B3" s="20" t="s">
        <v>5</v>
      </c>
      <c r="D3" s="22"/>
      <c r="E3" s="23"/>
    </row>
    <row r="4" spans="1:92" s="21" customFormat="1" ht="30" customHeight="1">
      <c r="A4" s="11"/>
      <c r="B4" s="24" t="s">
        <v>6</v>
      </c>
      <c r="E4" s="25"/>
      <c r="I4" s="82">
        <f>I5</f>
        <v>45656</v>
      </c>
      <c r="J4" s="80"/>
      <c r="K4" s="80"/>
      <c r="L4" s="80"/>
      <c r="M4" s="80"/>
      <c r="N4" s="80"/>
      <c r="O4" s="80"/>
      <c r="P4" s="80">
        <f>P5</f>
        <v>45663</v>
      </c>
      <c r="Q4" s="80"/>
      <c r="R4" s="80"/>
      <c r="S4" s="80"/>
      <c r="T4" s="80"/>
      <c r="U4" s="80"/>
      <c r="V4" s="80"/>
      <c r="W4" s="80">
        <f>W5</f>
        <v>45670</v>
      </c>
      <c r="X4" s="80"/>
      <c r="Y4" s="80"/>
      <c r="Z4" s="80"/>
      <c r="AA4" s="80"/>
      <c r="AB4" s="80"/>
      <c r="AC4" s="80"/>
      <c r="AD4" s="80">
        <f>AD5</f>
        <v>45677</v>
      </c>
      <c r="AE4" s="80"/>
      <c r="AF4" s="80"/>
      <c r="AG4" s="80"/>
      <c r="AH4" s="80"/>
      <c r="AI4" s="80"/>
      <c r="AJ4" s="80"/>
      <c r="AK4" s="80">
        <f>AK5</f>
        <v>45684</v>
      </c>
      <c r="AL4" s="80"/>
      <c r="AM4" s="80"/>
      <c r="AN4" s="80"/>
      <c r="AO4" s="80"/>
      <c r="AP4" s="80"/>
      <c r="AQ4" s="80"/>
      <c r="AR4" s="80">
        <f>AR5</f>
        <v>45691</v>
      </c>
      <c r="AS4" s="80"/>
      <c r="AT4" s="80"/>
      <c r="AU4" s="80"/>
      <c r="AV4" s="80"/>
      <c r="AW4" s="80"/>
      <c r="AX4" s="80"/>
      <c r="AY4" s="80">
        <f>AY5</f>
        <v>45698</v>
      </c>
      <c r="AZ4" s="80"/>
      <c r="BA4" s="80"/>
      <c r="BB4" s="80"/>
      <c r="BC4" s="80"/>
      <c r="BD4" s="80"/>
      <c r="BE4" s="80"/>
      <c r="BF4" s="80">
        <f>BF5</f>
        <v>45705</v>
      </c>
      <c r="BG4" s="80"/>
      <c r="BH4" s="80"/>
      <c r="BI4" s="80"/>
      <c r="BJ4" s="80"/>
      <c r="BK4" s="80"/>
      <c r="BL4" s="81"/>
      <c r="BM4" s="80">
        <f>BM5</f>
        <v>45712</v>
      </c>
      <c r="BN4" s="80"/>
      <c r="BO4" s="80"/>
      <c r="BP4" s="80"/>
      <c r="BQ4" s="80"/>
      <c r="BR4" s="80"/>
      <c r="BS4" s="80"/>
      <c r="BT4" s="80">
        <f>BT5</f>
        <v>45719</v>
      </c>
      <c r="BU4" s="80"/>
      <c r="BV4" s="80"/>
      <c r="BW4" s="80"/>
      <c r="BX4" s="80"/>
      <c r="BY4" s="80"/>
      <c r="BZ4" s="80"/>
      <c r="CA4" s="80">
        <f>CA5</f>
        <v>45726</v>
      </c>
      <c r="CB4" s="80"/>
      <c r="CC4" s="80"/>
      <c r="CD4" s="80"/>
      <c r="CE4" s="80"/>
      <c r="CF4" s="80"/>
      <c r="CG4" s="80"/>
      <c r="CH4" s="80">
        <f>CH5</f>
        <v>45733</v>
      </c>
      <c r="CI4" s="80"/>
      <c r="CJ4" s="80"/>
      <c r="CK4" s="80"/>
      <c r="CL4" s="80"/>
      <c r="CM4" s="80"/>
      <c r="CN4" s="81"/>
    </row>
    <row r="5" spans="1:92" s="21" customFormat="1" ht="15" customHeight="1">
      <c r="A5" s="87"/>
      <c r="B5" s="88" t="s">
        <v>7</v>
      </c>
      <c r="C5" s="90" t="s">
        <v>8</v>
      </c>
      <c r="D5" s="83" t="s">
        <v>9</v>
      </c>
      <c r="E5" s="83" t="s">
        <v>10</v>
      </c>
      <c r="F5" s="83" t="s">
        <v>11</v>
      </c>
      <c r="I5" s="26">
        <f>Project_Start-WEEKDAY(Project_Start,1)+2+7*(Display_Week-1)</f>
        <v>45656</v>
      </c>
      <c r="J5" s="26">
        <f>I5+1</f>
        <v>45657</v>
      </c>
      <c r="K5" s="26">
        <f t="shared" ref="K5:AX5" si="0">J5+1</f>
        <v>45658</v>
      </c>
      <c r="L5" s="26">
        <f t="shared" si="0"/>
        <v>45659</v>
      </c>
      <c r="M5" s="26">
        <f t="shared" si="0"/>
        <v>45660</v>
      </c>
      <c r="N5" s="26">
        <f t="shared" si="0"/>
        <v>45661</v>
      </c>
      <c r="O5" s="27">
        <f t="shared" si="0"/>
        <v>45662</v>
      </c>
      <c r="P5" s="28">
        <f>O5+1</f>
        <v>45663</v>
      </c>
      <c r="Q5" s="26">
        <f>P5+1</f>
        <v>45664</v>
      </c>
      <c r="R5" s="26">
        <f t="shared" si="0"/>
        <v>45665</v>
      </c>
      <c r="S5" s="26">
        <f t="shared" si="0"/>
        <v>45666</v>
      </c>
      <c r="T5" s="26">
        <f t="shared" si="0"/>
        <v>45667</v>
      </c>
      <c r="U5" s="26">
        <f t="shared" si="0"/>
        <v>45668</v>
      </c>
      <c r="V5" s="27">
        <f t="shared" si="0"/>
        <v>45669</v>
      </c>
      <c r="W5" s="28">
        <f>V5+1</f>
        <v>45670</v>
      </c>
      <c r="X5" s="26">
        <f>W5+1</f>
        <v>45671</v>
      </c>
      <c r="Y5" s="26">
        <f t="shared" si="0"/>
        <v>45672</v>
      </c>
      <c r="Z5" s="26">
        <f t="shared" si="0"/>
        <v>45673</v>
      </c>
      <c r="AA5" s="26">
        <f t="shared" si="0"/>
        <v>45674</v>
      </c>
      <c r="AB5" s="26">
        <f t="shared" si="0"/>
        <v>45675</v>
      </c>
      <c r="AC5" s="27">
        <f t="shared" si="0"/>
        <v>45676</v>
      </c>
      <c r="AD5" s="28">
        <f>AC5+1</f>
        <v>45677</v>
      </c>
      <c r="AE5" s="26">
        <f>AD5+1</f>
        <v>45678</v>
      </c>
      <c r="AF5" s="26">
        <f t="shared" si="0"/>
        <v>45679</v>
      </c>
      <c r="AG5" s="26">
        <f t="shared" si="0"/>
        <v>45680</v>
      </c>
      <c r="AH5" s="26">
        <f t="shared" si="0"/>
        <v>45681</v>
      </c>
      <c r="AI5" s="26">
        <f t="shared" si="0"/>
        <v>45682</v>
      </c>
      <c r="AJ5" s="27">
        <f t="shared" si="0"/>
        <v>45683</v>
      </c>
      <c r="AK5" s="28">
        <f>AJ5+1</f>
        <v>45684</v>
      </c>
      <c r="AL5" s="26">
        <f>AK5+1</f>
        <v>45685</v>
      </c>
      <c r="AM5" s="26">
        <f t="shared" si="0"/>
        <v>45686</v>
      </c>
      <c r="AN5" s="26">
        <f t="shared" si="0"/>
        <v>45687</v>
      </c>
      <c r="AO5" s="26">
        <f t="shared" si="0"/>
        <v>45688</v>
      </c>
      <c r="AP5" s="26">
        <f t="shared" si="0"/>
        <v>45689</v>
      </c>
      <c r="AQ5" s="27">
        <f t="shared" si="0"/>
        <v>45690</v>
      </c>
      <c r="AR5" s="28">
        <f>AQ5+1</f>
        <v>45691</v>
      </c>
      <c r="AS5" s="26">
        <f>AR5+1</f>
        <v>45692</v>
      </c>
      <c r="AT5" s="26">
        <f t="shared" si="0"/>
        <v>45693</v>
      </c>
      <c r="AU5" s="26">
        <f t="shared" si="0"/>
        <v>45694</v>
      </c>
      <c r="AV5" s="26">
        <f t="shared" si="0"/>
        <v>45695</v>
      </c>
      <c r="AW5" s="26">
        <f t="shared" si="0"/>
        <v>45696</v>
      </c>
      <c r="AX5" s="27">
        <f t="shared" si="0"/>
        <v>45697</v>
      </c>
      <c r="AY5" s="28">
        <f>AX5+1</f>
        <v>45698</v>
      </c>
      <c r="AZ5" s="26">
        <f>AY5+1</f>
        <v>45699</v>
      </c>
      <c r="BA5" s="26">
        <f t="shared" ref="BA5:BE5" si="1">AZ5+1</f>
        <v>45700</v>
      </c>
      <c r="BB5" s="26">
        <f t="shared" si="1"/>
        <v>45701</v>
      </c>
      <c r="BC5" s="26">
        <f t="shared" si="1"/>
        <v>45702</v>
      </c>
      <c r="BD5" s="26">
        <f t="shared" si="1"/>
        <v>45703</v>
      </c>
      <c r="BE5" s="27">
        <f t="shared" si="1"/>
        <v>45704</v>
      </c>
      <c r="BF5" s="28">
        <f>BE5+1</f>
        <v>45705</v>
      </c>
      <c r="BG5" s="26">
        <f>BF5+1</f>
        <v>45706</v>
      </c>
      <c r="BH5" s="26">
        <f t="shared" ref="BH5:BL5" si="2">BG5+1</f>
        <v>45707</v>
      </c>
      <c r="BI5" s="26">
        <f t="shared" si="2"/>
        <v>45708</v>
      </c>
      <c r="BJ5" s="26">
        <f t="shared" si="2"/>
        <v>45709</v>
      </c>
      <c r="BK5" s="26">
        <f t="shared" si="2"/>
        <v>45710</v>
      </c>
      <c r="BL5" s="26">
        <f t="shared" si="2"/>
        <v>45711</v>
      </c>
      <c r="BM5" s="28">
        <f>BL5+1</f>
        <v>45712</v>
      </c>
      <c r="BN5" s="26">
        <f>BM5+1</f>
        <v>45713</v>
      </c>
      <c r="BO5" s="26">
        <f t="shared" ref="BO5" si="3">BN5+1</f>
        <v>45714</v>
      </c>
      <c r="BP5" s="26">
        <f t="shared" ref="BP5" si="4">BO5+1</f>
        <v>45715</v>
      </c>
      <c r="BQ5" s="26">
        <f t="shared" ref="BQ5" si="5">BP5+1</f>
        <v>45716</v>
      </c>
      <c r="BR5" s="26">
        <f t="shared" ref="BR5" si="6">BQ5+1</f>
        <v>45717</v>
      </c>
      <c r="BS5" s="27">
        <f t="shared" ref="BS5" si="7">BR5+1</f>
        <v>45718</v>
      </c>
      <c r="BT5" s="28">
        <f>BS5+1</f>
        <v>45719</v>
      </c>
      <c r="BU5" s="26">
        <f>BT5+1</f>
        <v>45720</v>
      </c>
      <c r="BV5" s="26">
        <f t="shared" ref="BV5" si="8">BU5+1</f>
        <v>45721</v>
      </c>
      <c r="BW5" s="26">
        <f t="shared" ref="BW5" si="9">BV5+1</f>
        <v>45722</v>
      </c>
      <c r="BX5" s="26">
        <f t="shared" ref="BX5" si="10">BW5+1</f>
        <v>45723</v>
      </c>
      <c r="BY5" s="26">
        <f t="shared" ref="BY5" si="11">BX5+1</f>
        <v>45724</v>
      </c>
      <c r="BZ5" s="27">
        <f t="shared" ref="BZ5" si="12">BY5+1</f>
        <v>45725</v>
      </c>
      <c r="CA5" s="28">
        <f>BZ5+1</f>
        <v>45726</v>
      </c>
      <c r="CB5" s="26">
        <f>CA5+1</f>
        <v>45727</v>
      </c>
      <c r="CC5" s="26">
        <f t="shared" ref="CC5" si="13">CB5+1</f>
        <v>45728</v>
      </c>
      <c r="CD5" s="26">
        <f t="shared" ref="CD5" si="14">CC5+1</f>
        <v>45729</v>
      </c>
      <c r="CE5" s="26">
        <f t="shared" ref="CE5" si="15">CD5+1</f>
        <v>45730</v>
      </c>
      <c r="CF5" s="26">
        <f t="shared" ref="CF5" si="16">CE5+1</f>
        <v>45731</v>
      </c>
      <c r="CG5" s="27">
        <f t="shared" ref="CG5" si="17">CF5+1</f>
        <v>45732</v>
      </c>
      <c r="CH5" s="28">
        <f>CG5+1</f>
        <v>45733</v>
      </c>
      <c r="CI5" s="26">
        <f>CH5+1</f>
        <v>45734</v>
      </c>
      <c r="CJ5" s="26">
        <f t="shared" ref="CJ5" si="18">CI5+1</f>
        <v>45735</v>
      </c>
      <c r="CK5" s="26">
        <f t="shared" ref="CK5" si="19">CJ5+1</f>
        <v>45736</v>
      </c>
      <c r="CL5" s="26">
        <f t="shared" ref="CL5" si="20">CK5+1</f>
        <v>45737</v>
      </c>
      <c r="CM5" s="26">
        <f t="shared" ref="CM5" si="21">CL5+1</f>
        <v>45738</v>
      </c>
      <c r="CN5" s="26">
        <f t="shared" ref="CN5" si="22">CM5+1</f>
        <v>45739</v>
      </c>
    </row>
    <row r="6" spans="1:92" s="21" customFormat="1" ht="15" customHeight="1">
      <c r="A6" s="87"/>
      <c r="B6" s="89"/>
      <c r="C6" s="106"/>
      <c r="D6" s="106"/>
      <c r="E6" s="106"/>
      <c r="F6" s="106"/>
      <c r="I6" s="29" t="str">
        <f t="shared" ref="I6:AN6" si="23">LEFT(TEXT(I5,"ddd"),1)</f>
        <v>M</v>
      </c>
      <c r="J6" s="30" t="str">
        <f t="shared" si="23"/>
        <v>T</v>
      </c>
      <c r="K6" s="30" t="str">
        <f t="shared" si="23"/>
        <v>W</v>
      </c>
      <c r="L6" s="30" t="str">
        <f t="shared" si="23"/>
        <v>T</v>
      </c>
      <c r="M6" s="30" t="str">
        <f t="shared" si="23"/>
        <v>F</v>
      </c>
      <c r="N6" s="30" t="str">
        <f t="shared" si="23"/>
        <v>S</v>
      </c>
      <c r="O6" s="30" t="str">
        <f t="shared" si="23"/>
        <v>S</v>
      </c>
      <c r="P6" s="30" t="str">
        <f t="shared" si="23"/>
        <v>M</v>
      </c>
      <c r="Q6" s="30" t="str">
        <f t="shared" si="23"/>
        <v>T</v>
      </c>
      <c r="R6" s="30" t="str">
        <f t="shared" si="23"/>
        <v>W</v>
      </c>
      <c r="S6" s="30" t="str">
        <f t="shared" si="23"/>
        <v>T</v>
      </c>
      <c r="T6" s="30" t="str">
        <f t="shared" si="23"/>
        <v>F</v>
      </c>
      <c r="U6" s="30" t="str">
        <f t="shared" si="23"/>
        <v>S</v>
      </c>
      <c r="V6" s="30" t="str">
        <f t="shared" si="23"/>
        <v>S</v>
      </c>
      <c r="W6" s="30" t="str">
        <f t="shared" si="23"/>
        <v>M</v>
      </c>
      <c r="X6" s="30" t="str">
        <f t="shared" si="23"/>
        <v>T</v>
      </c>
      <c r="Y6" s="30" t="str">
        <f t="shared" si="23"/>
        <v>W</v>
      </c>
      <c r="Z6" s="30" t="str">
        <f t="shared" si="23"/>
        <v>T</v>
      </c>
      <c r="AA6" s="30" t="str">
        <f t="shared" si="23"/>
        <v>F</v>
      </c>
      <c r="AB6" s="30" t="str">
        <f t="shared" si="23"/>
        <v>S</v>
      </c>
      <c r="AC6" s="30" t="str">
        <f t="shared" si="23"/>
        <v>S</v>
      </c>
      <c r="AD6" s="30" t="str">
        <f t="shared" si="23"/>
        <v>M</v>
      </c>
      <c r="AE6" s="30" t="str">
        <f t="shared" si="23"/>
        <v>T</v>
      </c>
      <c r="AF6" s="30" t="str">
        <f t="shared" si="23"/>
        <v>W</v>
      </c>
      <c r="AG6" s="30" t="str">
        <f t="shared" si="23"/>
        <v>T</v>
      </c>
      <c r="AH6" s="30" t="str">
        <f t="shared" si="23"/>
        <v>F</v>
      </c>
      <c r="AI6" s="30" t="str">
        <f t="shared" si="23"/>
        <v>S</v>
      </c>
      <c r="AJ6" s="30" t="str">
        <f t="shared" si="23"/>
        <v>S</v>
      </c>
      <c r="AK6" s="30" t="str">
        <f t="shared" si="23"/>
        <v>M</v>
      </c>
      <c r="AL6" s="30" t="str">
        <f t="shared" si="23"/>
        <v>T</v>
      </c>
      <c r="AM6" s="30" t="str">
        <f t="shared" si="23"/>
        <v>W</v>
      </c>
      <c r="AN6" s="30" t="str">
        <f t="shared" si="23"/>
        <v>T</v>
      </c>
      <c r="AO6" s="30" t="str">
        <f t="shared" ref="AO6:BP6" si="24">LEFT(TEXT(AO5,"ddd"),1)</f>
        <v>F</v>
      </c>
      <c r="AP6" s="30" t="str">
        <f t="shared" si="24"/>
        <v>S</v>
      </c>
      <c r="AQ6" s="30" t="str">
        <f t="shared" si="24"/>
        <v>S</v>
      </c>
      <c r="AR6" s="30" t="str">
        <f t="shared" si="24"/>
        <v>M</v>
      </c>
      <c r="AS6" s="30" t="str">
        <f t="shared" si="24"/>
        <v>T</v>
      </c>
      <c r="AT6" s="30" t="str">
        <f t="shared" si="24"/>
        <v>W</v>
      </c>
      <c r="AU6" s="30" t="str">
        <f t="shared" si="24"/>
        <v>T</v>
      </c>
      <c r="AV6" s="30" t="str">
        <f t="shared" si="24"/>
        <v>F</v>
      </c>
      <c r="AW6" s="30" t="str">
        <f t="shared" si="24"/>
        <v>S</v>
      </c>
      <c r="AX6" s="30" t="str">
        <f t="shared" si="24"/>
        <v>S</v>
      </c>
      <c r="AY6" s="30" t="str">
        <f t="shared" si="24"/>
        <v>M</v>
      </c>
      <c r="AZ6" s="30" t="str">
        <f t="shared" si="24"/>
        <v>T</v>
      </c>
      <c r="BA6" s="30" t="str">
        <f t="shared" si="24"/>
        <v>W</v>
      </c>
      <c r="BB6" s="30" t="str">
        <f t="shared" si="24"/>
        <v>T</v>
      </c>
      <c r="BC6" s="30" t="str">
        <f t="shared" si="24"/>
        <v>F</v>
      </c>
      <c r="BD6" s="30" t="str">
        <f t="shared" si="24"/>
        <v>S</v>
      </c>
      <c r="BE6" s="30" t="str">
        <f t="shared" si="24"/>
        <v>S</v>
      </c>
      <c r="BF6" s="30" t="str">
        <f t="shared" si="24"/>
        <v>M</v>
      </c>
      <c r="BG6" s="30" t="str">
        <f t="shared" si="24"/>
        <v>T</v>
      </c>
      <c r="BH6" s="30" t="str">
        <f t="shared" si="24"/>
        <v>W</v>
      </c>
      <c r="BI6" s="30" t="str">
        <f t="shared" si="24"/>
        <v>T</v>
      </c>
      <c r="BJ6" s="30" t="str">
        <f t="shared" si="24"/>
        <v>F</v>
      </c>
      <c r="BK6" s="30" t="str">
        <f t="shared" si="24"/>
        <v>S</v>
      </c>
      <c r="BL6" s="31" t="str">
        <f t="shared" si="24"/>
        <v>S</v>
      </c>
      <c r="BM6" s="30" t="str">
        <f t="shared" si="24"/>
        <v>M</v>
      </c>
      <c r="BN6" s="30" t="str">
        <f t="shared" si="24"/>
        <v>T</v>
      </c>
      <c r="BO6" s="30" t="str">
        <f t="shared" si="24"/>
        <v>W</v>
      </c>
      <c r="BP6" s="30" t="str">
        <f t="shared" si="24"/>
        <v>T</v>
      </c>
      <c r="BQ6" s="30" t="str">
        <f t="shared" ref="BQ6:CN6" si="25">LEFT(TEXT(BQ5,"ddd"),1)</f>
        <v>F</v>
      </c>
      <c r="BR6" s="30" t="str">
        <f t="shared" si="25"/>
        <v>S</v>
      </c>
      <c r="BS6" s="30" t="str">
        <f t="shared" si="25"/>
        <v>S</v>
      </c>
      <c r="BT6" s="30" t="str">
        <f t="shared" si="25"/>
        <v>M</v>
      </c>
      <c r="BU6" s="30" t="str">
        <f t="shared" si="25"/>
        <v>T</v>
      </c>
      <c r="BV6" s="30" t="str">
        <f t="shared" si="25"/>
        <v>W</v>
      </c>
      <c r="BW6" s="30" t="str">
        <f t="shared" si="25"/>
        <v>T</v>
      </c>
      <c r="BX6" s="30" t="str">
        <f t="shared" si="25"/>
        <v>F</v>
      </c>
      <c r="BY6" s="30" t="str">
        <f t="shared" si="25"/>
        <v>S</v>
      </c>
      <c r="BZ6" s="30" t="str">
        <f t="shared" si="25"/>
        <v>S</v>
      </c>
      <c r="CA6" s="30" t="str">
        <f t="shared" si="25"/>
        <v>M</v>
      </c>
      <c r="CB6" s="30" t="str">
        <f t="shared" si="25"/>
        <v>T</v>
      </c>
      <c r="CC6" s="30" t="str">
        <f t="shared" si="25"/>
        <v>W</v>
      </c>
      <c r="CD6" s="30" t="str">
        <f t="shared" si="25"/>
        <v>T</v>
      </c>
      <c r="CE6" s="30" t="str">
        <f t="shared" si="25"/>
        <v>F</v>
      </c>
      <c r="CF6" s="30" t="str">
        <f t="shared" si="25"/>
        <v>S</v>
      </c>
      <c r="CG6" s="30" t="str">
        <f t="shared" si="25"/>
        <v>S</v>
      </c>
      <c r="CH6" s="30" t="str">
        <f t="shared" si="25"/>
        <v>M</v>
      </c>
      <c r="CI6" s="30" t="str">
        <f t="shared" si="25"/>
        <v>T</v>
      </c>
      <c r="CJ6" s="30" t="str">
        <f t="shared" si="25"/>
        <v>W</v>
      </c>
      <c r="CK6" s="30" t="str">
        <f t="shared" si="25"/>
        <v>T</v>
      </c>
      <c r="CL6" s="30" t="str">
        <f t="shared" si="25"/>
        <v>F</v>
      </c>
      <c r="CM6" s="30" t="str">
        <f t="shared" si="25"/>
        <v>S</v>
      </c>
      <c r="CN6" s="31" t="str">
        <f t="shared" si="25"/>
        <v>S</v>
      </c>
    </row>
    <row r="7" spans="1:92" s="21" customFormat="1" ht="30" hidden="1" customHeight="1">
      <c r="A7" s="10" t="s">
        <v>12</v>
      </c>
      <c r="B7" s="32"/>
      <c r="C7" s="33"/>
      <c r="D7" s="32"/>
      <c r="E7" s="32"/>
      <c r="F7" s="32"/>
      <c r="H7" s="21" t="str">
        <f ca="1">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row>
    <row r="8" spans="1:92" s="41" customFormat="1" ht="30" customHeight="1">
      <c r="A8" s="11"/>
      <c r="B8" s="35" t="s">
        <v>13</v>
      </c>
      <c r="C8" s="36"/>
      <c r="D8" s="37"/>
      <c r="E8" s="38"/>
      <c r="F8" s="39"/>
      <c r="G8" s="12"/>
      <c r="H8" s="3" t="str">
        <f t="shared" ref="H8:H31" ca="1" si="26">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row>
    <row r="9" spans="1:92" s="41" customFormat="1" ht="30" customHeight="1">
      <c r="A9" s="11"/>
      <c r="B9" s="107" t="s">
        <v>14</v>
      </c>
      <c r="C9" s="108"/>
      <c r="D9" s="42">
        <v>0</v>
      </c>
      <c r="E9" s="43">
        <f>Project_Start</f>
        <v>45658</v>
      </c>
      <c r="F9" s="43">
        <f>E9+14</f>
        <v>45672</v>
      </c>
      <c r="G9" s="12"/>
      <c r="H9" s="3">
        <f t="shared" ca="1" si="26"/>
        <v>15</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row>
    <row r="10" spans="1:92" s="41" customFormat="1" ht="30" customHeight="1">
      <c r="A10" s="11"/>
      <c r="B10" s="107" t="s">
        <v>15</v>
      </c>
      <c r="C10" s="108" t="s">
        <v>16</v>
      </c>
      <c r="D10" s="42">
        <v>0</v>
      </c>
      <c r="E10" s="45">
        <f>F9+1</f>
        <v>45673</v>
      </c>
      <c r="F10" s="45">
        <f>E10+14</f>
        <v>45687</v>
      </c>
      <c r="G10" s="12"/>
      <c r="H10" s="3">
        <f t="shared" ca="1" si="26"/>
        <v>15</v>
      </c>
      <c r="I10" s="44"/>
      <c r="J10" s="44"/>
      <c r="K10" s="44"/>
      <c r="L10" s="44"/>
      <c r="M10" s="44"/>
      <c r="N10" s="44"/>
      <c r="O10" s="44"/>
      <c r="P10" s="44"/>
      <c r="Q10" s="44"/>
      <c r="R10" s="44"/>
      <c r="S10" s="44"/>
      <c r="T10" s="44"/>
      <c r="U10" s="46"/>
      <c r="V10" s="46"/>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row>
    <row r="11" spans="1:92" s="41" customFormat="1" ht="30" customHeight="1">
      <c r="A11" s="10"/>
      <c r="B11" s="107" t="s">
        <v>17</v>
      </c>
      <c r="C11" s="108" t="s">
        <v>18</v>
      </c>
      <c r="D11" s="42">
        <v>0</v>
      </c>
      <c r="E11" s="45">
        <f>F10+1</f>
        <v>45688</v>
      </c>
      <c r="F11" s="45">
        <f>E11+14</f>
        <v>45702</v>
      </c>
      <c r="G11" s="12"/>
      <c r="H11" s="3">
        <f t="shared" ca="1" si="26"/>
        <v>15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row>
    <row r="12" spans="1:92" s="41" customFormat="1" ht="30" customHeight="1">
      <c r="A12" s="10"/>
      <c r="B12" s="107" t="s">
        <v>19</v>
      </c>
      <c r="C12" s="108" t="s">
        <v>20</v>
      </c>
      <c r="D12" s="42">
        <v>0</v>
      </c>
      <c r="E12" s="45">
        <f>F11+1</f>
        <v>45703</v>
      </c>
      <c r="F12" s="45">
        <f>E12+7</f>
        <v>45710</v>
      </c>
      <c r="G12" s="12"/>
      <c r="H12" s="3">
        <f t="shared" ca="1" si="26"/>
        <v>8</v>
      </c>
      <c r="I12" s="44"/>
      <c r="J12" s="44"/>
      <c r="K12" s="44"/>
      <c r="L12" s="44"/>
      <c r="M12" s="44"/>
      <c r="N12" s="44"/>
      <c r="O12" s="44"/>
      <c r="P12" s="44"/>
      <c r="Q12" s="44"/>
      <c r="R12" s="44"/>
      <c r="S12" s="44"/>
      <c r="T12" s="44"/>
      <c r="U12" s="44"/>
      <c r="V12" s="44"/>
      <c r="W12" s="44"/>
      <c r="X12" s="44"/>
      <c r="Y12" s="46"/>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row>
    <row r="13" spans="1:92" s="41" customFormat="1" ht="30" customHeight="1">
      <c r="A13" s="10"/>
      <c r="B13" s="107" t="s">
        <v>21</v>
      </c>
      <c r="C13" s="108" t="s">
        <v>20</v>
      </c>
      <c r="D13" s="42">
        <v>0</v>
      </c>
      <c r="E13" s="45">
        <f>F12+1</f>
        <v>45711</v>
      </c>
      <c r="F13" s="45">
        <f>E13+35</f>
        <v>45746</v>
      </c>
      <c r="G13" s="12"/>
      <c r="H13" s="3">
        <f t="shared" ca="1" si="26"/>
        <v>36</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row>
    <row r="14" spans="1:92" s="41" customFormat="1" ht="30" customHeight="1">
      <c r="A14" s="11"/>
      <c r="B14" s="47" t="s">
        <v>22</v>
      </c>
      <c r="C14" s="48"/>
      <c r="D14" s="49"/>
      <c r="E14" s="50"/>
      <c r="F14" s="51"/>
      <c r="G14" s="12"/>
      <c r="H14" s="3" t="str">
        <f t="shared" ca="1" si="26"/>
        <v/>
      </c>
    </row>
    <row r="15" spans="1:92" s="41" customFormat="1" ht="30" customHeight="1">
      <c r="A15" s="11"/>
      <c r="B15" s="91" t="s">
        <v>23</v>
      </c>
      <c r="C15" s="91"/>
      <c r="D15" s="52">
        <v>0</v>
      </c>
      <c r="E15" s="53">
        <f>Project_Start</f>
        <v>45658</v>
      </c>
      <c r="F15" s="53">
        <f>E15+7</f>
        <v>45665</v>
      </c>
      <c r="G15" s="12"/>
      <c r="H15" s="3">
        <f t="shared" ca="1" si="26"/>
        <v>8</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row>
    <row r="16" spans="1:92" s="41" customFormat="1" ht="30" customHeight="1">
      <c r="A16" s="10"/>
      <c r="B16" s="91" t="s">
        <v>24</v>
      </c>
      <c r="C16" s="91" t="s">
        <v>16</v>
      </c>
      <c r="D16" s="52">
        <v>0</v>
      </c>
      <c r="E16" s="53">
        <f>F15+1</f>
        <v>45666</v>
      </c>
      <c r="F16" s="53">
        <f>E16+21</f>
        <v>45687</v>
      </c>
      <c r="G16" s="12"/>
      <c r="H16" s="3">
        <f t="shared" ca="1" si="26"/>
        <v>22</v>
      </c>
      <c r="I16" s="44"/>
      <c r="J16" s="44"/>
      <c r="K16" s="44"/>
      <c r="L16" s="44"/>
      <c r="M16" s="44"/>
      <c r="N16" s="44"/>
      <c r="O16" s="44"/>
      <c r="P16" s="44"/>
      <c r="Q16" s="44"/>
      <c r="R16" s="44"/>
      <c r="S16" s="44"/>
      <c r="T16" s="44"/>
      <c r="U16" s="46"/>
      <c r="V16" s="46"/>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row>
    <row r="17" spans="1:92" s="41" customFormat="1" ht="30" customHeight="1">
      <c r="A17" s="10"/>
      <c r="B17" s="91" t="s">
        <v>25</v>
      </c>
      <c r="C17" s="91" t="s">
        <v>18</v>
      </c>
      <c r="D17" s="52">
        <v>0</v>
      </c>
      <c r="E17" s="53">
        <f>F16+1</f>
        <v>45688</v>
      </c>
      <c r="F17" s="53">
        <f>E17+14</f>
        <v>45702</v>
      </c>
      <c r="G17" s="12"/>
      <c r="H17" s="3">
        <f t="shared" ca="1" si="26"/>
        <v>15</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row>
    <row r="18" spans="1:92" s="41" customFormat="1" ht="30" customHeight="1">
      <c r="A18" s="10"/>
      <c r="B18" s="91" t="s">
        <v>26</v>
      </c>
      <c r="C18" s="91" t="s">
        <v>20</v>
      </c>
      <c r="D18" s="52">
        <v>0</v>
      </c>
      <c r="E18" s="53">
        <f>F17+1</f>
        <v>45703</v>
      </c>
      <c r="F18" s="53">
        <f>E18+14</f>
        <v>45717</v>
      </c>
      <c r="G18" s="12"/>
      <c r="H18" s="3">
        <f t="shared" ca="1" si="26"/>
        <v>15</v>
      </c>
      <c r="I18" s="44"/>
      <c r="J18" s="44"/>
      <c r="K18" s="44"/>
      <c r="L18" s="44"/>
      <c r="M18" s="44"/>
      <c r="N18" s="44"/>
      <c r="O18" s="44"/>
      <c r="P18" s="44"/>
      <c r="Q18" s="44"/>
      <c r="R18" s="44"/>
      <c r="S18" s="44"/>
      <c r="T18" s="44"/>
      <c r="U18" s="44"/>
      <c r="V18" s="44"/>
      <c r="W18" s="44"/>
      <c r="X18" s="44"/>
      <c r="Y18" s="46"/>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row>
    <row r="19" spans="1:92" s="41" customFormat="1" ht="30" customHeight="1">
      <c r="A19" s="10"/>
      <c r="B19" s="91" t="s">
        <v>27</v>
      </c>
      <c r="C19" s="91" t="s">
        <v>28</v>
      </c>
      <c r="D19" s="52">
        <v>0</v>
      </c>
      <c r="E19" s="53">
        <f>F18+1</f>
        <v>45718</v>
      </c>
      <c r="F19" s="53">
        <f>E19+7</f>
        <v>45725</v>
      </c>
      <c r="G19" s="12"/>
      <c r="H19" s="3">
        <f t="shared" ca="1" si="26"/>
        <v>8</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row>
    <row r="20" spans="1:92" s="41" customFormat="1" ht="30" customHeight="1">
      <c r="A20" s="10"/>
      <c r="B20" s="91" t="s">
        <v>27</v>
      </c>
      <c r="C20" s="91" t="s">
        <v>28</v>
      </c>
      <c r="D20" s="52">
        <v>0</v>
      </c>
      <c r="E20" s="53">
        <f>F19+1</f>
        <v>45726</v>
      </c>
      <c r="F20" s="53">
        <f>E20+7</f>
        <v>45733</v>
      </c>
      <c r="G20" s="12"/>
      <c r="H20" s="3">
        <f t="shared" ca="1" si="26"/>
        <v>8</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row>
    <row r="21" spans="1:92" s="41" customFormat="1" ht="30" customHeight="1">
      <c r="A21" s="10"/>
      <c r="B21" s="54" t="s">
        <v>29</v>
      </c>
      <c r="C21" s="55"/>
      <c r="D21" s="56"/>
      <c r="E21" s="57"/>
      <c r="F21" s="58"/>
      <c r="G21" s="12"/>
      <c r="H21" s="3" t="str">
        <f t="shared" ca="1" si="26"/>
        <v/>
      </c>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row>
    <row r="22" spans="1:92" s="41" customFormat="1" ht="30" customHeight="1">
      <c r="A22" s="10"/>
      <c r="B22" s="92" t="s">
        <v>30</v>
      </c>
      <c r="C22" s="92"/>
      <c r="D22" s="60">
        <v>0</v>
      </c>
      <c r="E22" s="61">
        <f>Project_Start+7</f>
        <v>45665</v>
      </c>
      <c r="F22" s="61">
        <f>E22+14</f>
        <v>45679</v>
      </c>
      <c r="G22" s="12"/>
      <c r="H22" s="3">
        <f t="shared" ca="1" si="26"/>
        <v>15</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row>
    <row r="23" spans="1:92" s="41" customFormat="1" ht="30" customHeight="1">
      <c r="A23" s="10"/>
      <c r="B23" s="92" t="s">
        <v>31</v>
      </c>
      <c r="C23" s="92" t="s">
        <v>16</v>
      </c>
      <c r="D23" s="60">
        <v>0</v>
      </c>
      <c r="E23" s="61">
        <f>F22+1</f>
        <v>45680</v>
      </c>
      <c r="F23" s="61">
        <f>E23+14</f>
        <v>45694</v>
      </c>
      <c r="G23" s="12"/>
      <c r="H23" s="3">
        <f t="shared" ca="1" si="26"/>
        <v>15</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row>
    <row r="24" spans="1:92" s="41" customFormat="1" ht="30" customHeight="1">
      <c r="A24" s="10"/>
      <c r="B24" s="92" t="s">
        <v>32</v>
      </c>
      <c r="C24" s="92" t="s">
        <v>18</v>
      </c>
      <c r="D24" s="60">
        <v>0</v>
      </c>
      <c r="E24" s="61">
        <f t="shared" ref="E24:E26" si="27">F23+1</f>
        <v>45695</v>
      </c>
      <c r="F24" s="61">
        <f>E24+14</f>
        <v>45709</v>
      </c>
      <c r="G24" s="12"/>
      <c r="H24" s="3">
        <f t="shared" ca="1" si="26"/>
        <v>15</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row>
    <row r="25" spans="1:92" s="41" customFormat="1" ht="30" customHeight="1">
      <c r="A25" s="10"/>
      <c r="B25" s="92" t="s">
        <v>33</v>
      </c>
      <c r="C25" s="92" t="s">
        <v>20</v>
      </c>
      <c r="D25" s="60">
        <v>0</v>
      </c>
      <c r="E25" s="61">
        <f t="shared" si="27"/>
        <v>45710</v>
      </c>
      <c r="F25" s="61">
        <f>E25+14</f>
        <v>45724</v>
      </c>
      <c r="G25" s="12"/>
      <c r="H25" s="3">
        <f t="shared" ca="1" si="26"/>
        <v>15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row>
    <row r="26" spans="1:92" s="41" customFormat="1" ht="30" customHeight="1">
      <c r="A26" s="10"/>
      <c r="B26" s="92" t="s">
        <v>34</v>
      </c>
      <c r="C26" s="92" t="s">
        <v>28</v>
      </c>
      <c r="D26" s="60">
        <v>0</v>
      </c>
      <c r="E26" s="61">
        <f t="shared" si="27"/>
        <v>45725</v>
      </c>
      <c r="F26" s="61">
        <f>E26+7</f>
        <v>45732</v>
      </c>
      <c r="G26" s="12"/>
      <c r="H26" s="3">
        <f t="shared" ca="1" si="26"/>
        <v>8</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row>
    <row r="27" spans="1:92" s="41" customFormat="1" ht="30" customHeight="1">
      <c r="A27" s="10"/>
      <c r="B27" s="94" t="s">
        <v>35</v>
      </c>
      <c r="C27" s="95"/>
      <c r="D27" s="96"/>
      <c r="E27" s="97"/>
      <c r="F27" s="98"/>
      <c r="G27" s="12"/>
      <c r="H27" s="3" t="str">
        <f t="shared" ca="1" si="26"/>
        <v/>
      </c>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row>
    <row r="28" spans="1:92" s="41" customFormat="1" ht="30" customHeight="1">
      <c r="A28" s="10"/>
      <c r="B28" s="99" t="s">
        <v>36</v>
      </c>
      <c r="C28" s="99"/>
      <c r="D28" s="100">
        <v>0</v>
      </c>
      <c r="E28" s="101">
        <f>Project_Start+7</f>
        <v>45665</v>
      </c>
      <c r="F28" s="101">
        <f>E28+28</f>
        <v>45693</v>
      </c>
      <c r="G28" s="12"/>
      <c r="H28" s="3">
        <f t="shared" ca="1" si="26"/>
        <v>29</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row>
    <row r="29" spans="1:92" s="41" customFormat="1" ht="30" customHeight="1">
      <c r="A29" s="10"/>
      <c r="B29" s="99" t="s">
        <v>37</v>
      </c>
      <c r="C29" s="99" t="s">
        <v>16</v>
      </c>
      <c r="D29" s="100">
        <v>0</v>
      </c>
      <c r="E29" s="101">
        <f>Project_Start+14</f>
        <v>45672</v>
      </c>
      <c r="F29" s="101">
        <f>E29+56</f>
        <v>45728</v>
      </c>
      <c r="G29" s="12"/>
      <c r="H29" s="3">
        <f t="shared" ca="1" si="26"/>
        <v>57</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row>
    <row r="30" spans="1:92" s="41" customFormat="1" ht="30" customHeight="1">
      <c r="A30" s="10"/>
      <c r="B30" s="99" t="s">
        <v>38</v>
      </c>
      <c r="C30" s="99" t="s">
        <v>18</v>
      </c>
      <c r="D30" s="100">
        <v>0</v>
      </c>
      <c r="E30" s="101">
        <f>Project_Start+35</f>
        <v>45693</v>
      </c>
      <c r="F30" s="101">
        <f>E30+21</f>
        <v>45714</v>
      </c>
      <c r="G30" s="12"/>
      <c r="H30" s="3">
        <f t="shared" ca="1" si="26"/>
        <v>22</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row>
    <row r="31" spans="1:92" s="41" customFormat="1" ht="30" customHeight="1">
      <c r="A31" s="10"/>
      <c r="B31" s="99" t="s">
        <v>39</v>
      </c>
      <c r="C31" s="99" t="s">
        <v>20</v>
      </c>
      <c r="D31" s="100">
        <v>0</v>
      </c>
      <c r="E31" s="101">
        <f>Project_Start+70</f>
        <v>45728</v>
      </c>
      <c r="F31" s="101">
        <f>E31+21</f>
        <v>45749</v>
      </c>
      <c r="G31" s="12"/>
      <c r="H31" s="3">
        <f t="shared" ca="1" si="26"/>
        <v>22</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row>
    <row r="32" spans="1:92" s="41" customFormat="1" ht="30" customHeight="1">
      <c r="A32" s="10"/>
      <c r="B32" s="62" t="s">
        <v>40</v>
      </c>
      <c r="C32" s="63"/>
      <c r="D32" s="64"/>
      <c r="E32" s="65"/>
      <c r="F32" s="66"/>
      <c r="G32" s="12"/>
      <c r="H32" s="3" t="str">
        <f t="shared" ref="H32:H37" ca="1" si="28">IF(OR(ISBLANK(task_start),ISBLANK(task_end)),"",task_end-task_start+1)</f>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row>
    <row r="33" spans="1:92" s="41" customFormat="1" ht="30" customHeight="1">
      <c r="A33" s="10"/>
      <c r="B33" s="93" t="s">
        <v>41</v>
      </c>
      <c r="C33" s="93"/>
      <c r="D33" s="68">
        <v>0</v>
      </c>
      <c r="E33" s="103">
        <f>Project_Start</f>
        <v>45658</v>
      </c>
      <c r="F33" s="69">
        <f>E33+14</f>
        <v>45672</v>
      </c>
      <c r="G33" s="12"/>
      <c r="H33" s="3">
        <f t="shared" ca="1" si="28"/>
        <v>15</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row>
    <row r="34" spans="1:92" s="41" customFormat="1" ht="30" customHeight="1">
      <c r="A34" s="11"/>
      <c r="B34" s="93" t="s">
        <v>42</v>
      </c>
      <c r="C34" s="93" t="s">
        <v>16</v>
      </c>
      <c r="D34" s="68">
        <v>0</v>
      </c>
      <c r="E34" s="102">
        <f>F33+1</f>
        <v>45673</v>
      </c>
      <c r="F34" s="69">
        <f>E34+21</f>
        <v>45694</v>
      </c>
      <c r="G34" s="12"/>
      <c r="H34" s="3">
        <f t="shared" ca="1" si="28"/>
        <v>22</v>
      </c>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row>
    <row r="35" spans="1:92" ht="30" customHeight="1">
      <c r="B35" s="93" t="s">
        <v>43</v>
      </c>
      <c r="C35" s="93" t="s">
        <v>18</v>
      </c>
      <c r="D35" s="68">
        <v>0</v>
      </c>
      <c r="E35" s="102">
        <f t="shared" ref="E35:E37" si="29">F34+1</f>
        <v>45695</v>
      </c>
      <c r="F35" s="69">
        <f>E35+14</f>
        <v>45709</v>
      </c>
      <c r="G35" s="12"/>
      <c r="H35" s="3">
        <f t="shared" ca="1" si="28"/>
        <v>15</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row>
    <row r="36" spans="1:92" ht="30" customHeight="1">
      <c r="B36" s="93" t="s">
        <v>44</v>
      </c>
      <c r="C36" s="93" t="s">
        <v>20</v>
      </c>
      <c r="D36" s="68">
        <v>0</v>
      </c>
      <c r="E36" s="102">
        <f t="shared" si="29"/>
        <v>45710</v>
      </c>
      <c r="F36" s="69">
        <f>E36+30</f>
        <v>45740</v>
      </c>
      <c r="G36" s="12"/>
      <c r="H36" s="3">
        <f t="shared" ca="1" si="28"/>
        <v>31</v>
      </c>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row>
    <row r="37" spans="1:92" ht="30" customHeight="1">
      <c r="B37" s="93" t="s">
        <v>45</v>
      </c>
      <c r="C37" s="93" t="s">
        <v>28</v>
      </c>
      <c r="D37" s="68">
        <v>0</v>
      </c>
      <c r="E37" s="103">
        <f>Project_Start+70</f>
        <v>45728</v>
      </c>
      <c r="F37" s="69">
        <f>E37+30</f>
        <v>45758</v>
      </c>
      <c r="G37" s="12"/>
      <c r="H37" s="3">
        <f t="shared" ca="1" si="28"/>
        <v>31</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row>
  </sheetData>
  <mergeCells count="47">
    <mergeCell ref="B37:C37"/>
    <mergeCell ref="B20:C20"/>
    <mergeCell ref="B29:C29"/>
    <mergeCell ref="B30:C30"/>
    <mergeCell ref="B31:C31"/>
    <mergeCell ref="B36:C36"/>
    <mergeCell ref="B35:C35"/>
    <mergeCell ref="B34:C34"/>
    <mergeCell ref="B33:C33"/>
    <mergeCell ref="B23:C23"/>
    <mergeCell ref="B24:C24"/>
    <mergeCell ref="B25:C25"/>
    <mergeCell ref="B26:C26"/>
    <mergeCell ref="B28:C28"/>
    <mergeCell ref="B16:C16"/>
    <mergeCell ref="B17:C17"/>
    <mergeCell ref="B18:C18"/>
    <mergeCell ref="B19:C19"/>
    <mergeCell ref="B22:C22"/>
    <mergeCell ref="B10:C10"/>
    <mergeCell ref="B11:C11"/>
    <mergeCell ref="B12:C12"/>
    <mergeCell ref="B13:C13"/>
    <mergeCell ref="B15:C15"/>
    <mergeCell ref="BM4:BS4"/>
    <mergeCell ref="BT4:BZ4"/>
    <mergeCell ref="CA4:CG4"/>
    <mergeCell ref="CH4:CN4"/>
    <mergeCell ref="B9:C9"/>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7">
    <cfRule type="dataBar" priority="4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19" priority="24">
      <formula>AND(task_start&lt;=I$5,ROUNDDOWN((task_end-task_start+1)*task_progress,0)+task_start-1&gt;=I$5)</formula>
    </cfRule>
    <cfRule type="expression" dxfId="18" priority="25" stopIfTrue="1">
      <formula>AND(task_end&gt;=I$5,task_start&lt;J$5)</formula>
    </cfRule>
  </conditionalFormatting>
  <conditionalFormatting sqref="I15:BL20">
    <cfRule type="expression" dxfId="17" priority="22">
      <formula>AND(task_start&lt;=I$5,ROUNDDOWN((task_end-task_start+1)*task_progress,0)+task_start-1&gt;=I$5)</formula>
    </cfRule>
    <cfRule type="expression" dxfId="16" priority="23" stopIfTrue="1">
      <formula>AND(task_end&gt;=I$5,task_start&lt;J$5)</formula>
    </cfRule>
  </conditionalFormatting>
  <conditionalFormatting sqref="I22:BL26">
    <cfRule type="expression" dxfId="15" priority="20">
      <formula>AND(task_start&lt;=I$5,ROUNDDOWN((task_end-task_start+1)*task_progress,0)+task_start-1&gt;=I$5)</formula>
    </cfRule>
    <cfRule type="expression" dxfId="14" priority="21" stopIfTrue="1">
      <formula>AND(task_end&gt;=I$5,task_start&lt;J$5)</formula>
    </cfRule>
  </conditionalFormatting>
  <conditionalFormatting sqref="BM9:CN13">
    <cfRule type="expression" dxfId="13" priority="15">
      <formula>AND(task_start&lt;=BM$5,ROUNDDOWN((task_end-task_start+1)*task_progress,0)+task_start-1&gt;=BM$5)</formula>
    </cfRule>
    <cfRule type="expression" dxfId="12" priority="16" stopIfTrue="1">
      <formula>AND(task_end&gt;=BM$5,task_start&lt;BN$5)</formula>
    </cfRule>
  </conditionalFormatting>
  <conditionalFormatting sqref="BM15:CN20">
    <cfRule type="expression" dxfId="11" priority="13">
      <formula>AND(task_start&lt;=BM$5,ROUNDDOWN((task_end-task_start+1)*task_progress,0)+task_start-1&gt;=BM$5)</formula>
    </cfRule>
    <cfRule type="expression" dxfId="10" priority="14" stopIfTrue="1">
      <formula>AND(task_end&gt;=BM$5,task_start&lt;BN$5)</formula>
    </cfRule>
  </conditionalFormatting>
  <conditionalFormatting sqref="BM22:CN26">
    <cfRule type="expression" dxfId="9" priority="11">
      <formula>AND(task_start&lt;=BM$5,ROUNDDOWN((task_end-task_start+1)*task_progress,0)+task_start-1&gt;=BM$5)</formula>
    </cfRule>
    <cfRule type="expression" dxfId="8" priority="12" stopIfTrue="1">
      <formula>AND(task_end&gt;=BM$5,task_start&lt;BN$5)</formula>
    </cfRule>
  </conditionalFormatting>
  <conditionalFormatting sqref="I33:BL37">
    <cfRule type="expression" dxfId="7" priority="8">
      <formula>AND(task_start&lt;=I$5,ROUNDDOWN((task_end-task_start+1)*task_progress,0)+task_start-1&gt;=I$5)</formula>
    </cfRule>
    <cfRule type="expression" dxfId="6" priority="9" stopIfTrue="1">
      <formula>AND(task_end&gt;=I$5,task_start&lt;J$5)</formula>
    </cfRule>
  </conditionalFormatting>
  <conditionalFormatting sqref="BM33:CN37">
    <cfRule type="expression" dxfId="5" priority="6">
      <formula>AND(task_start&lt;=BM$5,ROUNDDOWN((task_end-task_start+1)*task_progress,0)+task_start-1&gt;=BM$5)</formula>
    </cfRule>
    <cfRule type="expression" dxfId="4" priority="7" stopIfTrue="1">
      <formula>AND(task_end&gt;=BM$5,task_start&lt;BN$5)</formula>
    </cfRule>
  </conditionalFormatting>
  <conditionalFormatting sqref="I28:BL32">
    <cfRule type="expression" dxfId="3" priority="3">
      <formula>AND(task_start&lt;=I$5,ROUNDDOWN((task_end-task_start+1)*task_progress,0)+task_start-1&gt;=I$5)</formula>
    </cfRule>
    <cfRule type="expression" dxfId="2" priority="4" stopIfTrue="1">
      <formula>AND(task_end&gt;=I$5,task_start&lt;J$5)</formula>
    </cfRule>
  </conditionalFormatting>
  <conditionalFormatting sqref="BM28:CN32">
    <cfRule type="expression" dxfId="1" priority="1">
      <formula>AND(task_start&lt;=BM$5,ROUNDDOWN((task_end-task_start+1)*task_progress,0)+task_start-1&gt;=BM$5)</formula>
    </cfRule>
    <cfRule type="expression" dxfId="0" priority="2" stopIfTrue="1">
      <formula>AND(task_end&gt;=BM$5,task_start&lt;BN$5)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5" zoomScaleNormal="100" workbookViewId="0">
      <selection activeCell="A10" sqref="A10"/>
    </sheetView>
  </sheetViews>
  <sheetFormatPr defaultColWidth="9" defaultRowHeight="13.15"/>
  <cols>
    <col min="1" max="1" width="87" style="4" customWidth="1"/>
    <col min="2" max="16384" width="9" style="1"/>
  </cols>
  <sheetData>
    <row r="1" spans="1:2" ht="46.5" customHeight="1"/>
    <row r="2" spans="1:2" s="6" customFormat="1" ht="15.6">
      <c r="A2" s="73" t="s">
        <v>5</v>
      </c>
      <c r="B2" s="5"/>
    </row>
    <row r="3" spans="1:2" s="8" customFormat="1" ht="27" customHeight="1">
      <c r="A3" s="74"/>
      <c r="B3" s="9"/>
    </row>
    <row r="4" spans="1:2" s="7" customFormat="1" ht="30">
      <c r="A4" s="75" t="s">
        <v>46</v>
      </c>
    </row>
    <row r="5" spans="1:2" ht="74.25" customHeight="1">
      <c r="A5" s="76" t="s">
        <v>47</v>
      </c>
    </row>
    <row r="6" spans="1:2" ht="26.25" customHeight="1">
      <c r="A6" s="75" t="s">
        <v>48</v>
      </c>
    </row>
    <row r="7" spans="1:2" s="4" customFormat="1" ht="205.15" customHeight="1">
      <c r="A7" s="77" t="s">
        <v>49</v>
      </c>
    </row>
    <row r="8" spans="1:2" s="7" customFormat="1" ht="30">
      <c r="A8" s="75" t="s">
        <v>50</v>
      </c>
    </row>
    <row r="9" spans="1:2" ht="41.45">
      <c r="A9" s="76" t="s">
        <v>51</v>
      </c>
    </row>
    <row r="10" spans="1:2" s="4" customFormat="1" ht="28.15" customHeight="1">
      <c r="A10" s="78" t="s">
        <v>52</v>
      </c>
    </row>
    <row r="11" spans="1:2" s="7" customFormat="1" ht="30">
      <c r="A11" s="75" t="s">
        <v>53</v>
      </c>
    </row>
    <row r="12" spans="1:2" ht="27.6">
      <c r="A12" s="76" t="s">
        <v>54</v>
      </c>
    </row>
    <row r="13" spans="1:2" s="4" customFormat="1" ht="28.15" customHeight="1">
      <c r="A13" s="78" t="s">
        <v>55</v>
      </c>
    </row>
    <row r="14" spans="1:2" s="7" customFormat="1" ht="30">
      <c r="A14" s="75" t="s">
        <v>56</v>
      </c>
    </row>
    <row r="15" spans="1:2" ht="75" customHeight="1">
      <c r="A15" s="76" t="s">
        <v>57</v>
      </c>
    </row>
    <row r="16" spans="1:2" ht="69">
      <c r="A16" s="76" t="s">
        <v>58</v>
      </c>
    </row>
    <row r="17" spans="1:1">
      <c r="A17" s="79"/>
    </row>
    <row r="18" spans="1:1">
      <c r="A18" s="79"/>
    </row>
    <row r="19" spans="1:1">
      <c r="A19" s="79"/>
    </row>
    <row r="20" spans="1:1">
      <c r="A20" s="79"/>
    </row>
    <row r="21" spans="1:1">
      <c r="A21" s="79"/>
    </row>
    <row r="22" spans="1:1">
      <c r="A22" s="79"/>
    </row>
    <row r="23" spans="1:1">
      <c r="A23" s="79"/>
    </row>
    <row r="24" spans="1:1">
      <c r="A24" s="7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2025-03-24T20:15:17Z</dcterms:created>
  <dcterms:modified xsi:type="dcterms:W3CDTF">2025-03-24T21:26:00Z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